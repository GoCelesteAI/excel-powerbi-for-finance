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arameters" sheetId="2" state="visible" r:id="rId2"/>
    <sheet name="GL" sheetId="3" state="visible" r:id="rId3"/>
    <sheet name="Customers" sheetId="4" state="visible" r:id="rId4"/>
    <sheet name="Budget" sheetId="5" state="visible" r:id="rId5"/>
    <sheet name="Reports" sheetId="6" state="visible" r:id="rId6"/>
  </sheets>
  <definedNames>
    <definedName name="VATRate">Parameters!$B$2</definedName>
    <definedName name="ReportingPeriod">Parameters!$B$3</definedName>
    <definedName name="BaseCurrency">Parameters!$B$4</definedName>
    <definedName name="MaterialityThreshold">Parameters!$B$5</definedName>
    <definedName name="BudgetYear">Parameters!$B$6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8A5E"/>
      <sz val="16"/>
    </font>
    <font>
      <b val="1"/>
      <color rgb="001F8A5E"/>
    </font>
    <font>
      <i val="1"/>
      <color rgb="0064748B"/>
    </font>
    <font>
      <b val="1"/>
      <color rgb="00FFFFFF"/>
    </font>
    <font>
      <b val="1"/>
      <color rgb="000C1216"/>
    </font>
    <font>
      <b val="1"/>
      <color rgb="001F8A5E"/>
      <sz val="14"/>
    </font>
  </fonts>
  <fills count="4">
    <fill>
      <patternFill/>
    </fill>
    <fill>
      <patternFill patternType="gray125"/>
    </fill>
    <fill>
      <patternFill patternType="solid">
        <fgColor rgb="001F8A5E"/>
      </patternFill>
    </fill>
    <fill>
      <patternFill patternType="solid">
        <fgColor rgb="00F5B0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0" fontId="5" fillId="3" borderId="0" pivotButton="0" quotePrefix="0" xfId="0"/>
    <xf numFmtId="0" fontId="6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blGL" displayName="tblGL" ref="A1:F16" headerRowCount="1">
  <autoFilter ref="A1:F16"/>
  <tableColumns count="6">
    <tableColumn id="1" name="JournalID"/>
    <tableColumn id="2" name="PostingDate"/>
    <tableColumn id="3" name="Account"/>
    <tableColumn id="4" name="AccountName"/>
    <tableColumn id="5" name="Customer"/>
    <tableColumn id="6" name="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ustomers" displayName="tblCustomers" ref="A1:F10" headerRowCount="1">
  <autoFilter ref="A1:F10"/>
  <tableColumns count="6">
    <tableColumn id="1" name="CustomerID"/>
    <tableColumn id="2" name="CustomerName"/>
    <tableColumn id="3" name="Country"/>
    <tableColumn id="4" name="Region"/>
    <tableColumn id="5" name="Industry"/>
    <tableColumn id="6" name="CreditLim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Budget" displayName="tblBudget" ref="A1:F7" headerRowCount="1">
  <autoFilter ref="A1:F7"/>
  <tableColumns count="6">
    <tableColumn id="1" name="Account"/>
    <tableColumn id="2" name="AccountName"/>
    <tableColumn id="3" name="Month"/>
    <tableColumn id="4" name="Budget"/>
    <tableColumn id="5" name="Actual"/>
    <tableColumn id="6" name="Vari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AtlasParts Robust Close — Episode 6</t>
        </is>
      </c>
    </row>
    <row r="2">
      <c r="A2" t="inlineStr"/>
    </row>
    <row r="3">
      <c r="A3" s="2" t="inlineStr">
        <is>
          <t>Tables</t>
        </is>
      </c>
    </row>
    <row r="4">
      <c r="A4" s="3" t="inlineStr">
        <is>
          <t xml:space="preserve">  tblGL</t>
        </is>
      </c>
      <c r="B4" s="2" t="inlineStr">
        <is>
          <t>GL journal lines, loaded from gl_journal.csv (Power Query)</t>
        </is>
      </c>
    </row>
    <row r="5">
      <c r="A5" s="3" t="inlineStr">
        <is>
          <t xml:space="preserve">  tblCustomers</t>
        </is>
      </c>
      <c r="B5" s="2" t="inlineStr">
        <is>
          <t>Customer master, with country variants pre-cleaned</t>
        </is>
      </c>
    </row>
    <row r="6">
      <c r="A6" s="3" t="inlineStr">
        <is>
          <t xml:space="preserve">  tblProducts</t>
        </is>
      </c>
      <c r="B6" s="2" t="inlineStr">
        <is>
          <t>Product master with unit prices</t>
        </is>
      </c>
    </row>
    <row r="7">
      <c r="A7" s="3" t="inlineStr">
        <is>
          <t xml:space="preserve">  tblBudget</t>
        </is>
      </c>
      <c r="B7" s="2" t="inlineStr">
        <is>
          <t>Annual budget by account / month</t>
        </is>
      </c>
    </row>
    <row r="8">
      <c r="A8" t="inlineStr"/>
    </row>
    <row r="9">
      <c r="A9" s="2" t="inlineStr">
        <is>
          <t>Named ranges (workbook scope)</t>
        </is>
      </c>
    </row>
    <row r="10">
      <c r="A10" s="3" t="inlineStr">
        <is>
          <t xml:space="preserve">  ReportingPeriod</t>
        </is>
      </c>
      <c r="B10" s="2" t="inlineStr">
        <is>
          <t>Period close date — drives every aggregation</t>
        </is>
      </c>
    </row>
    <row r="11">
      <c r="A11" s="3" t="inlineStr">
        <is>
          <t xml:space="preserve">  BaseCurrency</t>
        </is>
      </c>
      <c r="B11" s="2" t="inlineStr">
        <is>
          <t>Reporting currency</t>
        </is>
      </c>
    </row>
    <row r="12">
      <c r="A12" s="3" t="inlineStr">
        <is>
          <t xml:space="preserve">  VATRate</t>
        </is>
      </c>
      <c r="B12" s="2" t="inlineStr">
        <is>
          <t>Standard VAT rate</t>
        </is>
      </c>
    </row>
    <row r="13">
      <c r="A13" s="3" t="inlineStr">
        <is>
          <t xml:space="preserve">  MaterialityThreshold</t>
        </is>
      </c>
      <c r="B13" s="2" t="inlineStr">
        <is>
          <t>Variance flag floor</t>
        </is>
      </c>
    </row>
    <row r="14">
      <c r="A14" s="3" t="inlineStr">
        <is>
          <t xml:space="preserve">  BudgetYear</t>
        </is>
      </c>
      <c r="B14" s="2" t="inlineStr">
        <is>
          <t>Active budget year</t>
        </is>
      </c>
    </row>
    <row r="15">
      <c r="A15" t="inlineStr"/>
    </row>
    <row r="16">
      <c r="A16" s="2" t="inlineStr">
        <is>
          <t>Reports (dynamic arrays)</t>
        </is>
      </c>
    </row>
    <row r="17">
      <c r="A17" s="3" t="inlineStr">
        <is>
          <t xml:space="preserve">  Top10Customers</t>
        </is>
      </c>
      <c r="B17" s="2">
        <f>TAKE(SORT(tblCustomers, 6, -1), 10)</f>
        <v/>
      </c>
    </row>
    <row r="18">
      <c r="A18" s="3" t="inlineStr">
        <is>
          <t xml:space="preserve">  HighVarianceAccounts</t>
        </is>
      </c>
      <c r="B18" s="2">
        <f>FILTER(tblBudget, ABS(tblBudget[Variance]) &gt; MaterialityThreshold)</f>
        <v/>
      </c>
    </row>
    <row r="19">
      <c r="A19" t="inlineStr"/>
    </row>
    <row r="20">
      <c r="A20" s="2" t="inlineStr">
        <is>
          <t>To run a different period: change ReportingPeriod on the Parameters sheet.</t>
        </is>
      </c>
    </row>
    <row r="21">
      <c r="A21" s="2" t="inlineStr">
        <is>
          <t>To handle a new month's data: refresh the Power Query connections (Data &gt; Refresh All).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6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VATRate</t>
        </is>
      </c>
      <c r="B2" t="n">
        <v>0.21</v>
      </c>
      <c r="C2" t="inlineStr">
        <is>
          <t>Standard VAT rate (EU)</t>
        </is>
      </c>
    </row>
    <row r="3">
      <c r="A3" s="5" t="inlineStr">
        <is>
          <t>ReportingPeriod</t>
        </is>
      </c>
      <c r="B3" t="inlineStr">
        <is>
          <t>2025-04-30</t>
        </is>
      </c>
      <c r="C3" t="inlineStr">
        <is>
          <t>Period close date</t>
        </is>
      </c>
    </row>
    <row r="4">
      <c r="A4" s="5" t="inlineStr">
        <is>
          <t>BaseCurrency</t>
        </is>
      </c>
      <c r="B4" t="inlineStr">
        <is>
          <t>USD</t>
        </is>
      </c>
      <c r="C4" t="inlineStr">
        <is>
          <t>Reporting currency</t>
        </is>
      </c>
    </row>
    <row r="5">
      <c r="A5" s="5" t="inlineStr">
        <is>
          <t>MaterialityThreshold</t>
        </is>
      </c>
      <c r="B5" t="n">
        <v>50000</v>
      </c>
      <c r="C5" t="inlineStr">
        <is>
          <t>Variance flag floor</t>
        </is>
      </c>
    </row>
    <row r="6">
      <c r="A6" s="5" t="inlineStr">
        <is>
          <t>BudgetYear</t>
        </is>
      </c>
      <c r="B6" t="n">
        <v>2025</v>
      </c>
      <c r="C6" t="inlineStr">
        <is>
          <t>Active budget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0" customWidth="1" min="4" max="4"/>
    <col width="12" customWidth="1" min="5" max="5"/>
    <col width="12" customWidth="1" min="6" max="6"/>
  </cols>
  <sheetData>
    <row r="1">
      <c r="A1" t="inlineStr">
        <is>
          <t>JournalID</t>
        </is>
      </c>
      <c r="B1" t="inlineStr">
        <is>
          <t>PostingDate</t>
        </is>
      </c>
      <c r="C1" t="inlineStr">
        <is>
          <t>Account</t>
        </is>
      </c>
      <c r="D1" t="inlineStr">
        <is>
          <t>AccountName</t>
        </is>
      </c>
      <c r="E1" t="inlineStr">
        <is>
          <t>Customer</t>
        </is>
      </c>
      <c r="F1" t="inlineStr">
        <is>
          <t>Amount</t>
        </is>
      </c>
    </row>
    <row r="2">
      <c r="A2" t="inlineStr">
        <is>
          <t>J0001</t>
        </is>
      </c>
      <c r="B2" t="inlineStr">
        <is>
          <t>2025-04-01</t>
        </is>
      </c>
      <c r="C2" t="n">
        <v>4000</v>
      </c>
      <c r="D2" t="inlineStr">
        <is>
          <t>Sales Revenue</t>
        </is>
      </c>
      <c r="E2" t="inlineStr">
        <is>
          <t>CUST-001</t>
        </is>
      </c>
      <c r="F2" t="n">
        <v>24500</v>
      </c>
    </row>
    <row r="3">
      <c r="A3" t="inlineStr">
        <is>
          <t>J0002</t>
        </is>
      </c>
      <c r="B3" t="inlineStr">
        <is>
          <t>2025-04-01</t>
        </is>
      </c>
      <c r="C3" t="n">
        <v>4000</v>
      </c>
      <c r="D3" t="inlineStr">
        <is>
          <t>Sales Revenue</t>
        </is>
      </c>
      <c r="E3" t="inlineStr">
        <is>
          <t>CUST-005</t>
        </is>
      </c>
      <c r="F3" t="n">
        <v>18900</v>
      </c>
    </row>
    <row r="4">
      <c r="A4" t="inlineStr">
        <is>
          <t>J0003</t>
        </is>
      </c>
      <c r="B4" t="inlineStr">
        <is>
          <t>2025-04-01</t>
        </is>
      </c>
      <c r="C4" t="n">
        <v>5100</v>
      </c>
      <c r="D4" t="inlineStr">
        <is>
          <t>COGS - Materials</t>
        </is>
      </c>
      <c r="E4" t="inlineStr"/>
      <c r="F4" t="n">
        <v>-12400</v>
      </c>
    </row>
    <row r="5">
      <c r="A5" t="inlineStr">
        <is>
          <t>J0004</t>
        </is>
      </c>
      <c r="B5" t="inlineStr">
        <is>
          <t>2025-04-02</t>
        </is>
      </c>
      <c r="C5" t="n">
        <v>4000</v>
      </c>
      <c r="D5" t="inlineStr">
        <is>
          <t>Sales Revenue</t>
        </is>
      </c>
      <c r="E5" t="inlineStr">
        <is>
          <t>CUST-011</t>
        </is>
      </c>
      <c r="F5" t="n">
        <v>31200</v>
      </c>
    </row>
    <row r="6">
      <c r="A6" t="inlineStr">
        <is>
          <t>J0005</t>
        </is>
      </c>
      <c r="B6" t="inlineStr">
        <is>
          <t>2025-04-02</t>
        </is>
      </c>
      <c r="C6" t="n">
        <v>5100</v>
      </c>
      <c r="D6" t="inlineStr">
        <is>
          <t>COGS - Materials</t>
        </is>
      </c>
      <c r="E6" t="inlineStr"/>
      <c r="F6" t="n">
        <v>-9650</v>
      </c>
    </row>
    <row r="7">
      <c r="A7" t="inlineStr">
        <is>
          <t>J0006</t>
        </is>
      </c>
      <c r="B7" t="inlineStr">
        <is>
          <t>2025-04-02</t>
        </is>
      </c>
      <c r="C7" t="n">
        <v>4000</v>
      </c>
      <c r="D7" t="inlineStr">
        <is>
          <t>Sales Revenue</t>
        </is>
      </c>
      <c r="E7" t="inlineStr">
        <is>
          <t>CUST-019</t>
        </is>
      </c>
      <c r="F7" t="n">
        <v>27800</v>
      </c>
    </row>
    <row r="8">
      <c r="A8" t="inlineStr">
        <is>
          <t>J0007</t>
        </is>
      </c>
      <c r="B8" t="inlineStr">
        <is>
          <t>2025-04-03</t>
        </is>
      </c>
      <c r="C8" t="n">
        <v>4000</v>
      </c>
      <c r="D8" t="inlineStr">
        <is>
          <t>Sales Revenue</t>
        </is>
      </c>
      <c r="E8" t="inlineStr">
        <is>
          <t>CUST-026</t>
        </is>
      </c>
      <c r="F8" t="n">
        <v>22150</v>
      </c>
    </row>
    <row r="9">
      <c r="A9" t="inlineStr">
        <is>
          <t>J0008</t>
        </is>
      </c>
      <c r="B9" t="inlineStr">
        <is>
          <t>2025-04-03</t>
        </is>
      </c>
      <c r="C9" t="n">
        <v>6100</v>
      </c>
      <c r="D9" t="inlineStr">
        <is>
          <t>Operating Expenses</t>
        </is>
      </c>
      <c r="E9" t="inlineStr"/>
      <c r="F9" t="n">
        <v>-4200</v>
      </c>
    </row>
    <row r="10">
      <c r="A10" t="inlineStr">
        <is>
          <t>J0009</t>
        </is>
      </c>
      <c r="B10" t="inlineStr">
        <is>
          <t>2025-04-03</t>
        </is>
      </c>
      <c r="C10" t="n">
        <v>4000</v>
      </c>
      <c r="D10" t="inlineStr">
        <is>
          <t>Sales Revenue</t>
        </is>
      </c>
      <c r="E10" t="inlineStr">
        <is>
          <t>CUST-031</t>
        </is>
      </c>
      <c r="F10" t="n">
        <v>19400</v>
      </c>
    </row>
    <row r="11">
      <c r="A11" t="inlineStr">
        <is>
          <t>J0010</t>
        </is>
      </c>
      <c r="B11" t="inlineStr">
        <is>
          <t>2025-04-04</t>
        </is>
      </c>
      <c r="C11" t="n">
        <v>4000</v>
      </c>
      <c r="D11" t="inlineStr">
        <is>
          <t>Sales Revenue</t>
        </is>
      </c>
      <c r="E11" t="inlineStr">
        <is>
          <t>CUST-038</t>
        </is>
      </c>
      <c r="F11" t="n">
        <v>33800</v>
      </c>
    </row>
    <row r="12">
      <c r="A12" t="inlineStr">
        <is>
          <t>J0011</t>
        </is>
      </c>
      <c r="B12" t="inlineStr">
        <is>
          <t>2025-04-04</t>
        </is>
      </c>
      <c r="C12" t="n">
        <v>5100</v>
      </c>
      <c r="D12" t="inlineStr">
        <is>
          <t>COGS - Materials</t>
        </is>
      </c>
      <c r="E12" t="inlineStr"/>
      <c r="F12" t="n">
        <v>-14200</v>
      </c>
    </row>
    <row r="13">
      <c r="A13" t="inlineStr">
        <is>
          <t>J0012</t>
        </is>
      </c>
      <c r="B13" t="inlineStr">
        <is>
          <t>2025-04-04</t>
        </is>
      </c>
      <c r="C13" t="n">
        <v>6100</v>
      </c>
      <c r="D13" t="inlineStr">
        <is>
          <t>Operating Expenses</t>
        </is>
      </c>
      <c r="E13" t="inlineStr"/>
      <c r="F13" t="n">
        <v>-3850</v>
      </c>
    </row>
    <row r="14">
      <c r="A14" t="inlineStr">
        <is>
          <t>J0013</t>
        </is>
      </c>
      <c r="B14" t="inlineStr">
        <is>
          <t>2025-04-05</t>
        </is>
      </c>
      <c r="C14" t="n">
        <v>4000</v>
      </c>
      <c r="D14" t="inlineStr">
        <is>
          <t>Sales Revenue</t>
        </is>
      </c>
      <c r="E14" t="inlineStr">
        <is>
          <t>CUST-001</t>
        </is>
      </c>
      <c r="F14" t="n">
        <v>21000</v>
      </c>
    </row>
    <row r="15">
      <c r="A15" t="inlineStr">
        <is>
          <t>J0014</t>
        </is>
      </c>
      <c r="B15" t="inlineStr">
        <is>
          <t>2025-04-05</t>
        </is>
      </c>
      <c r="C15" t="n">
        <v>4000</v>
      </c>
      <c r="D15" t="inlineStr">
        <is>
          <t>Sales Revenue</t>
        </is>
      </c>
      <c r="E15" t="inlineStr">
        <is>
          <t>CUST-005</t>
        </is>
      </c>
      <c r="F15" t="n">
        <v>25400</v>
      </c>
    </row>
    <row r="16">
      <c r="A16" t="inlineStr">
        <is>
          <t>J0015</t>
        </is>
      </c>
      <c r="B16" t="inlineStr">
        <is>
          <t>2025-04-05</t>
        </is>
      </c>
      <c r="C16" t="n">
        <v>6100</v>
      </c>
      <c r="D16" t="inlineStr">
        <is>
          <t>Operating Expenses</t>
        </is>
      </c>
      <c r="E16" t="inlineStr"/>
      <c r="F16" t="n">
        <v>-2900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  <col width="13" customWidth="1" min="6" max="6"/>
  </cols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Country</t>
        </is>
      </c>
      <c r="D1" t="inlineStr">
        <is>
          <t>Region</t>
        </is>
      </c>
      <c r="E1" t="inlineStr">
        <is>
          <t>Industry</t>
        </is>
      </c>
      <c r="F1" t="inlineStr">
        <is>
          <t>CreditLimit</t>
        </is>
      </c>
    </row>
    <row r="2">
      <c r="A2" t="inlineStr">
        <is>
          <t>CUST-001</t>
        </is>
      </c>
      <c r="B2" t="inlineStr">
        <is>
          <t>Coastal Logistics</t>
        </is>
      </c>
      <c r="C2" t="inlineStr">
        <is>
          <t>US</t>
        </is>
      </c>
      <c r="D2" t="inlineStr">
        <is>
          <t>North</t>
        </is>
      </c>
      <c r="E2" t="inlineStr">
        <is>
          <t>Logistics</t>
        </is>
      </c>
      <c r="F2" t="n">
        <v>500000</v>
      </c>
    </row>
    <row r="3">
      <c r="A3" t="inlineStr">
        <is>
          <t>CUST-005</t>
        </is>
      </c>
      <c r="B3" t="inlineStr">
        <is>
          <t>Ashford Auto Repair</t>
        </is>
      </c>
      <c r="C3" t="inlineStr">
        <is>
          <t>US</t>
        </is>
      </c>
      <c r="D3" t="inlineStr">
        <is>
          <t>North</t>
        </is>
      </c>
      <c r="E3" t="inlineStr">
        <is>
          <t>Automotive</t>
        </is>
      </c>
      <c r="F3" t="n">
        <v>150000</v>
      </c>
    </row>
    <row r="4">
      <c r="A4" t="inlineStr">
        <is>
          <t>CUST-011</t>
        </is>
      </c>
      <c r="B4" t="inlineStr">
        <is>
          <t>Bayside Fleet Services</t>
        </is>
      </c>
      <c r="C4" t="inlineStr">
        <is>
          <t>US</t>
        </is>
      </c>
      <c r="D4" t="inlineStr">
        <is>
          <t>South</t>
        </is>
      </c>
      <c r="E4" t="inlineStr">
        <is>
          <t>Fleet</t>
        </is>
      </c>
      <c r="F4" t="n">
        <v>420000</v>
      </c>
    </row>
    <row r="5">
      <c r="A5" t="inlineStr">
        <is>
          <t>CUST-019</t>
        </is>
      </c>
      <c r="B5" t="inlineStr">
        <is>
          <t>Liberty Fleet Service</t>
        </is>
      </c>
      <c r="C5" t="inlineStr">
        <is>
          <t>US</t>
        </is>
      </c>
      <c r="D5" t="inlineStr">
        <is>
          <t>South</t>
        </is>
      </c>
      <c r="E5" t="inlineStr">
        <is>
          <t>Fleet</t>
        </is>
      </c>
      <c r="F5" t="n">
        <v>380000</v>
      </c>
    </row>
    <row r="6">
      <c r="A6" t="inlineStr">
        <is>
          <t>CUST-026</t>
        </is>
      </c>
      <c r="B6" t="inlineStr">
        <is>
          <t>Midwest Wholesale</t>
        </is>
      </c>
      <c r="C6" t="inlineStr">
        <is>
          <t>US</t>
        </is>
      </c>
      <c r="D6" t="inlineStr">
        <is>
          <t>Central</t>
        </is>
      </c>
      <c r="E6" t="inlineStr">
        <is>
          <t>Wholesale</t>
        </is>
      </c>
      <c r="F6" t="n">
        <v>720000</v>
      </c>
    </row>
    <row r="7">
      <c r="A7" t="inlineStr">
        <is>
          <t>CUST-031</t>
        </is>
      </c>
      <c r="B7" t="inlineStr">
        <is>
          <t>Heritage Parts Plus</t>
        </is>
      </c>
      <c r="C7" t="inlineStr">
        <is>
          <t>UK</t>
        </is>
      </c>
      <c r="D7" t="inlineStr">
        <is>
          <t>London</t>
        </is>
      </c>
      <c r="E7" t="inlineStr">
        <is>
          <t>Retail</t>
        </is>
      </c>
      <c r="F7" t="n">
        <v>240000</v>
      </c>
    </row>
    <row r="8">
      <c r="A8" t="inlineStr">
        <is>
          <t>CUST-038</t>
        </is>
      </c>
      <c r="B8" t="inlineStr">
        <is>
          <t>Bauer Auto Service</t>
        </is>
      </c>
      <c r="C8" t="inlineStr">
        <is>
          <t>Germany</t>
        </is>
      </c>
      <c r="D8" t="inlineStr">
        <is>
          <t>Munich</t>
        </is>
      </c>
      <c r="E8" t="inlineStr">
        <is>
          <t>Automotive</t>
        </is>
      </c>
      <c r="F8" t="n">
        <v>280000</v>
      </c>
    </row>
    <row r="9">
      <c r="A9" t="inlineStr">
        <is>
          <t>CUST-042</t>
        </is>
      </c>
      <c r="B9" t="inlineStr">
        <is>
          <t>Eastgate Wholesale</t>
        </is>
      </c>
      <c r="C9" t="inlineStr">
        <is>
          <t>Canada</t>
        </is>
      </c>
      <c r="D9" t="inlineStr">
        <is>
          <t>Ontario</t>
        </is>
      </c>
      <c r="E9" t="inlineStr">
        <is>
          <t>Wholesale</t>
        </is>
      </c>
      <c r="F9" t="n">
        <v>340000</v>
      </c>
    </row>
    <row r="10">
      <c r="A10" t="inlineStr">
        <is>
          <t>CUST-050</t>
        </is>
      </c>
      <c r="B10" t="inlineStr">
        <is>
          <t>Riviera Trading Co</t>
        </is>
      </c>
      <c r="C10" t="inlineStr">
        <is>
          <t>France</t>
        </is>
      </c>
      <c r="D10" t="inlineStr">
        <is>
          <t>Paris</t>
        </is>
      </c>
      <c r="E10" t="inlineStr">
        <is>
          <t>Retail</t>
        </is>
      </c>
      <c r="F10" t="n">
        <v>290000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Account</t>
        </is>
      </c>
      <c r="B1" t="inlineStr">
        <is>
          <t>AccountName</t>
        </is>
      </c>
      <c r="C1" t="inlineStr">
        <is>
          <t>Month</t>
        </is>
      </c>
      <c r="D1" t="inlineStr">
        <is>
          <t>Budget</t>
        </is>
      </c>
      <c r="E1" t="inlineStr">
        <is>
          <t>Actual</t>
        </is>
      </c>
      <c r="F1" t="inlineStr">
        <is>
          <t>Variance</t>
        </is>
      </c>
    </row>
    <row r="2">
      <c r="A2" t="n">
        <v>4000</v>
      </c>
      <c r="B2" t="inlineStr">
        <is>
          <t>Sales Revenue</t>
        </is>
      </c>
      <c r="C2" t="inlineStr">
        <is>
          <t>2025-04</t>
        </is>
      </c>
      <c r="D2" t="n">
        <v>450000</v>
      </c>
      <c r="E2" t="n">
        <v>503150</v>
      </c>
      <c r="F2" t="n">
        <v>53150</v>
      </c>
    </row>
    <row r="3">
      <c r="A3" t="n">
        <v>5100</v>
      </c>
      <c r="B3" t="inlineStr">
        <is>
          <t>COGS - Materials</t>
        </is>
      </c>
      <c r="C3" t="inlineStr">
        <is>
          <t>2025-04</t>
        </is>
      </c>
      <c r="D3" t="n">
        <v>-180000</v>
      </c>
      <c r="E3" t="n">
        <v>-136250</v>
      </c>
      <c r="F3" t="n">
        <v>43750</v>
      </c>
    </row>
    <row r="4">
      <c r="A4" t="n">
        <v>6100</v>
      </c>
      <c r="B4" t="inlineStr">
        <is>
          <t>Operating Expenses</t>
        </is>
      </c>
      <c r="C4" t="inlineStr">
        <is>
          <t>2025-04</t>
        </is>
      </c>
      <c r="D4" t="n">
        <v>-65000</v>
      </c>
      <c r="E4" t="n">
        <v>-10950</v>
      </c>
      <c r="F4" t="n">
        <v>54050</v>
      </c>
    </row>
    <row r="5">
      <c r="A5" t="n">
        <v>4000</v>
      </c>
      <c r="B5" t="inlineStr">
        <is>
          <t>Sales Revenue</t>
        </is>
      </c>
      <c r="C5" t="inlineStr">
        <is>
          <t>2025-05</t>
        </is>
      </c>
      <c r="D5" t="n">
        <v>470000</v>
      </c>
      <c r="E5" t="n">
        <v>0</v>
      </c>
      <c r="F5" t="n">
        <v>-470000</v>
      </c>
    </row>
    <row r="6">
      <c r="A6" t="n">
        <v>5100</v>
      </c>
      <c r="B6" t="inlineStr">
        <is>
          <t>COGS - Materials</t>
        </is>
      </c>
      <c r="C6" t="inlineStr">
        <is>
          <t>2025-05</t>
        </is>
      </c>
      <c r="D6" t="n">
        <v>-190000</v>
      </c>
      <c r="E6" t="n">
        <v>0</v>
      </c>
      <c r="F6" t="n">
        <v>190000</v>
      </c>
    </row>
    <row r="7">
      <c r="A7" t="n">
        <v>6100</v>
      </c>
      <c r="B7" t="inlineStr">
        <is>
          <t>Operating Expenses</t>
        </is>
      </c>
      <c r="C7" t="inlineStr">
        <is>
          <t>2025-05</t>
        </is>
      </c>
      <c r="D7" t="n">
        <v>-68000</v>
      </c>
      <c r="E7" t="n">
        <v>0</v>
      </c>
      <c r="F7" t="n">
        <v>68000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6" t="inlineStr">
        <is>
          <t>Top 10 Customers by Credit Limit</t>
        </is>
      </c>
    </row>
    <row r="3">
      <c r="A3" s="7" t="inlineStr">
        <is>
          <t>CustomerID</t>
        </is>
      </c>
      <c r="B3" s="7" t="inlineStr">
        <is>
          <t>CustomerName</t>
        </is>
      </c>
      <c r="C3" s="7" t="inlineStr">
        <is>
          <t>Country</t>
        </is>
      </c>
      <c r="D3" s="7" t="inlineStr">
        <is>
          <t>Region</t>
        </is>
      </c>
      <c r="E3" s="7" t="inlineStr">
        <is>
          <t>Industry</t>
        </is>
      </c>
      <c r="F3" s="7" t="inlineStr">
        <is>
          <t>CreditLimit</t>
        </is>
      </c>
    </row>
    <row r="4">
      <c r="A4">
        <f>TAKE(SORT(tblCustomers, 6, -1), 10)</f>
        <v/>
      </c>
    </row>
    <row r="18">
      <c r="A18" s="6" t="inlineStr">
        <is>
          <t>High-Variance Accounts (above MaterialityThreshold)</t>
        </is>
      </c>
    </row>
    <row r="20">
      <c r="A20" s="7" t="inlineStr">
        <is>
          <t>Account</t>
        </is>
      </c>
      <c r="B20" s="7" t="inlineStr">
        <is>
          <t>AccountName</t>
        </is>
      </c>
      <c r="C20" s="7" t="inlineStr">
        <is>
          <t>Month</t>
        </is>
      </c>
      <c r="D20" s="7" t="inlineStr">
        <is>
          <t>Budget</t>
        </is>
      </c>
      <c r="E20" s="7" t="inlineStr">
        <is>
          <t>Actual</t>
        </is>
      </c>
      <c r="F20" s="7" t="inlineStr">
        <is>
          <t>Variance</t>
        </is>
      </c>
    </row>
    <row r="21">
      <c r="A21">
        <f>FILTER(tblBudget, ABS(tblBudget[Variance]) &gt; MaterialityThreshold)</f>
        <v/>
      </c>
    </row>
    <row r="35">
      <c r="A35" s="6" t="inlineStr">
        <is>
          <t>April 2025 P&amp;L (using named ranges)</t>
        </is>
      </c>
    </row>
    <row r="37">
      <c r="A37" t="inlineStr">
        <is>
          <t>Sales Revenue</t>
        </is>
      </c>
      <c r="B37">
        <f>SUMIFS(tblGL[Amount], tblGL[Account], 4000, tblGL[PostingDate], "&lt;="&amp;ReportingPeriod)</f>
        <v/>
      </c>
    </row>
    <row r="38">
      <c r="A38" t="inlineStr">
        <is>
          <t>COGS</t>
        </is>
      </c>
      <c r="B38">
        <f>SUMIFS(tblGL[Amount], tblGL[Account], 5100, tblGL[PostingDate], "&lt;="&amp;ReportingPeriod)</f>
        <v/>
      </c>
    </row>
    <row r="39">
      <c r="A39" t="inlineStr">
        <is>
          <t>Operating Expenses</t>
        </is>
      </c>
      <c r="B39">
        <f>SUMIFS(tblGL[Amount], tblGL[Account], 6100, tblGL[PostingDate], "&lt;="&amp;ReportingPeriod)</f>
        <v/>
      </c>
    </row>
    <row r="40">
      <c r="A40" s="2" t="inlineStr">
        <is>
          <t>Net Income</t>
        </is>
      </c>
      <c r="B40" s="2">
        <f>SUM(B37:B39)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2026-04-27T09:14:52Z</dcterms:created>
  <dcterms:modified xsi:type="dcterms:W3CDTF">2026-04-27T09:14:52Z</dcterms:modified>
</cp:coreProperties>
</file>